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okerGame\Doc\导出配置\"/>
    </mc:Choice>
  </mc:AlternateContent>
  <xr:revisionPtr revIDLastSave="0" documentId="13_ncr:1_{CBA1F719-908A-4646-86CD-157D58C35D3C}" xr6:coauthVersionLast="47" xr6:coauthVersionMax="47" xr10:uidLastSave="{00000000-0000-0000-0000-000000000000}"/>
  <bookViews>
    <workbookView xWindow="-108" yWindow="-108" windowWidth="23256" windowHeight="12456" activeTab="1" xr2:uid="{3A78B3B1-5E3A-410B-8199-1A9F991258E5}"/>
  </bookViews>
  <sheets>
    <sheet name="Cfg_Map" sheetId="1" r:id="rId1"/>
    <sheet name="Cfg_MapPoint" sheetId="2" r:id="rId2"/>
    <sheet name="Cfg_PointPrefix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F12" i="2"/>
  <c r="F14" i="2"/>
  <c r="F4" i="2"/>
  <c r="F5" i="2"/>
  <c r="F6" i="2"/>
  <c r="F7" i="2"/>
  <c r="F8" i="2"/>
  <c r="F9" i="2"/>
  <c r="F10" i="2"/>
  <c r="F11" i="2"/>
  <c r="F3" i="2"/>
  <c r="K4" i="2"/>
  <c r="A13" i="3"/>
  <c r="A14" i="3"/>
  <c r="A14" i="2"/>
  <c r="I14" i="2" s="1"/>
  <c r="B14" i="2"/>
  <c r="A4" i="3"/>
  <c r="A5" i="3"/>
  <c r="A6" i="3"/>
  <c r="A7" i="3"/>
  <c r="A8" i="3"/>
  <c r="A9" i="3"/>
  <c r="A10" i="3"/>
  <c r="A11" i="3"/>
  <c r="A12" i="3"/>
  <c r="A3" i="3"/>
  <c r="I4" i="2"/>
  <c r="I8" i="2"/>
  <c r="I9" i="2"/>
  <c r="I12" i="2"/>
  <c r="A4" i="2"/>
  <c r="A5" i="2"/>
  <c r="K5" i="2" s="1"/>
  <c r="A6" i="2"/>
  <c r="I6" i="2" s="1"/>
  <c r="A7" i="2"/>
  <c r="I7" i="2" s="1"/>
  <c r="A8" i="2"/>
  <c r="K8" i="2" s="1"/>
  <c r="A9" i="2"/>
  <c r="K9" i="2" s="1"/>
  <c r="A10" i="2"/>
  <c r="K10" i="2" s="1"/>
  <c r="A11" i="2"/>
  <c r="K11" i="2" s="1"/>
  <c r="A12" i="2"/>
  <c r="K12" i="2" s="1"/>
  <c r="A13" i="2"/>
  <c r="K13" i="2" s="1"/>
  <c r="A3" i="2"/>
  <c r="I3" i="2" s="1"/>
  <c r="B4" i="2"/>
  <c r="B5" i="2"/>
  <c r="B6" i="2"/>
  <c r="B7" i="2"/>
  <c r="B8" i="2"/>
  <c r="B9" i="2"/>
  <c r="B10" i="2"/>
  <c r="B11" i="2"/>
  <c r="B12" i="2"/>
  <c r="B13" i="2"/>
  <c r="B3" i="2"/>
  <c r="E3" i="1"/>
  <c r="I13" i="2" l="1"/>
  <c r="I5" i="2"/>
  <c r="K7" i="2"/>
  <c r="I11" i="2"/>
  <c r="K14" i="2"/>
  <c r="K6" i="2"/>
  <c r="I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毛俭铭</author>
  </authors>
  <commentList>
    <comment ref="B1" authorId="0" shapeId="0" xr:uid="{53CBD5C4-37C5-410E-B658-3F18C0F2922D}">
      <text>
        <r>
          <rPr>
            <b/>
            <sz val="9"/>
            <color indexed="81"/>
            <rFont val="宋体"/>
            <family val="3"/>
            <charset val="134"/>
          </rPr>
          <t>【字段名】：
id
【表头】：
c
【数据类型】：
字符
【为空是否导出】：
false</t>
        </r>
      </text>
    </comment>
    <comment ref="C1" authorId="0" shapeId="0" xr:uid="{4C67EDC8-FA5E-4731-8EBA-F1413D0E3442}">
      <text>
        <r>
          <rPr>
            <b/>
            <sz val="9"/>
            <color indexed="81"/>
            <rFont val="宋体"/>
            <family val="3"/>
            <charset val="134"/>
          </rPr>
          <t>【字段名】：
name
【表头】：
c
【数据类型】：
字符
【为空是否导出】：
false</t>
        </r>
      </text>
    </comment>
    <comment ref="D1" authorId="0" shapeId="0" xr:uid="{1659FDA5-A4B5-4C76-A96E-A37E56A8C2A6}">
      <text>
        <r>
          <rPr>
            <b/>
            <sz val="9"/>
            <color indexed="81"/>
            <rFont val="宋体"/>
            <family val="3"/>
            <charset val="134"/>
          </rPr>
          <t>【字段名】：
bg
【表头】：
c
【数据类型】：
字符
【为空是否导出】：
false</t>
        </r>
      </text>
    </comment>
    <comment ref="E1" authorId="0" shapeId="0" xr:uid="{EC39DEF9-2E2C-498E-90D2-F52E072676A5}">
      <text>
        <r>
          <rPr>
            <b/>
            <sz val="9"/>
            <color indexed="81"/>
            <rFont val="宋体"/>
            <family val="3"/>
            <charset val="134"/>
          </rPr>
          <t>【字段名】：
pointList
【表头】：
c
【数据类型】：
字符
【为空是否导出】：
false
【内容格式】：
数据名.方法名1[参数1,参数2……].方法名2[参数1,参数2……].…….方法名[Key1=Value1,Key2=Value2]……
其中参数值如果为默认值可省略，具体方法对应的参数序号和默认值见系统_参数设置的数据表处理方法配置
如果表头配置的转换关键字配置了方法，此处可只配置数据配置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毛俭铭</author>
  </authors>
  <commentList>
    <comment ref="B1" authorId="0" shapeId="0" xr:uid="{4D8CA80A-68AF-4688-A1B5-8B60582CA457}">
      <text>
        <r>
          <rPr>
            <b/>
            <sz val="9"/>
            <color indexed="81"/>
            <rFont val="宋体"/>
            <family val="3"/>
            <charset val="134"/>
          </rPr>
          <t>【字段名】：
id
【表头】：
c
【数据类型】：
字符
【为空是否导出】：
false</t>
        </r>
      </text>
    </comment>
    <comment ref="D1" authorId="0" shapeId="0" xr:uid="{89960129-44F6-4B29-985A-53C16285C030}">
      <text>
        <r>
          <rPr>
            <b/>
            <sz val="9"/>
            <color indexed="81"/>
            <rFont val="宋体"/>
            <family val="3"/>
            <charset val="134"/>
          </rPr>
          <t>【字段名】：
type
【表头】：
c
【数据类型】：
字符
【为空是否导出】：
false</t>
        </r>
      </text>
    </comment>
    <comment ref="E1" authorId="0" shapeId="0" xr:uid="{C3014768-3323-4EAB-B9FE-32EEE540BE9C}">
      <text>
        <r>
          <rPr>
            <b/>
            <sz val="9"/>
            <color indexed="81"/>
            <rFont val="宋体"/>
            <family val="3"/>
            <charset val="134"/>
          </rPr>
          <t>【字段名】：
x
【表头】：
c
【数据类型】：
字符
【为空是否导出】：
false</t>
        </r>
      </text>
    </comment>
    <comment ref="F1" authorId="0" shapeId="0" xr:uid="{945DE918-F398-4F6C-A43D-27CF55130BCD}">
      <text>
        <r>
          <rPr>
            <b/>
            <sz val="9"/>
            <color indexed="81"/>
            <rFont val="宋体"/>
            <family val="3"/>
            <charset val="134"/>
          </rPr>
          <t>【字段名】：
y
【表头】：
c
【数据类型】：
字符
【为空是否导出】：
false</t>
        </r>
      </text>
    </comment>
    <comment ref="I1" authorId="0" shapeId="0" xr:uid="{4F15BB71-FD60-4BF0-9186-6A0E406CF008}">
      <text>
        <r>
          <rPr>
            <b/>
            <sz val="9"/>
            <color indexed="81"/>
            <rFont val="宋体"/>
            <family val="3"/>
            <charset val="134"/>
          </rPr>
          <t>【字段名】：
name
【表头】：
c
【数据类型】：
字符
【为空是否导出】：
false</t>
        </r>
      </text>
    </comment>
    <comment ref="J1" authorId="0" shapeId="0" xr:uid="{E4815A48-E212-42C6-8E58-C3E4BD732E31}">
      <text>
        <r>
          <rPr>
            <b/>
            <sz val="9"/>
            <color indexed="81"/>
            <rFont val="宋体"/>
            <family val="3"/>
            <charset val="134"/>
          </rPr>
          <t>【字段名】：
icon
【表头】：
c
【数据类型】：
字符
【为空是否导出】：
false</t>
        </r>
      </text>
    </comment>
    <comment ref="K1" authorId="0" shapeId="0" xr:uid="{533D3080-05BB-4DBE-A567-2FC9EFCB41CB}">
      <text>
        <r>
          <rPr>
            <b/>
            <sz val="9"/>
            <color indexed="81"/>
            <rFont val="宋体"/>
            <family val="3"/>
            <charset val="134"/>
          </rPr>
          <t>【字段名】：
prefixPoints
【表头】：
c
【数据类型】：
字符
【为空是否导出】：
false
【内容格式】：
数据名.方法名1[参数1,参数2……].方法名2[参数1,参数2……].…….方法名[Key1=Value1,Key2=Value2]……
其中参数值如果为默认值可省略，具体方法对应的参数序号和默认值见系统_参数设置的数据表处理方法配置
如果表头配置的转换关键字配置了方法，此处可只配置数据配置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毛俭铭</author>
  </authors>
  <commentList>
    <comment ref="B1" authorId="0" shapeId="0" xr:uid="{885D3A5B-EA55-42A6-8786-9185D44CC0FB}">
      <text>
        <r>
          <rPr>
            <b/>
            <sz val="9"/>
            <color indexed="81"/>
            <rFont val="宋体"/>
            <family val="3"/>
            <charset val="134"/>
          </rPr>
          <t>【字段名】：
id
【表头】：
c
【数据类型】：
字符
【为空是否导出】：
false</t>
        </r>
      </text>
    </comment>
    <comment ref="D1" authorId="0" shapeId="0" xr:uid="{7C6E4D56-61C0-425E-A75C-52ADA93A0EB3}">
      <text>
        <r>
          <rPr>
            <b/>
            <sz val="9"/>
            <color indexed="81"/>
            <rFont val="宋体"/>
            <family val="3"/>
            <charset val="134"/>
          </rPr>
          <t>【字段名】：
prefixPoint
【表头】：
c
【数据类型】：
字符
【为空是否导出】：
false
【转换目标字段】
：MapPoint表的id字段</t>
        </r>
      </text>
    </comment>
    <comment ref="E1" authorId="0" shapeId="0" xr:uid="{32CF085D-E01E-4024-8408-F25970922024}">
      <text>
        <r>
          <rPr>
            <b/>
            <sz val="9"/>
            <color indexed="81"/>
            <rFont val="宋体"/>
            <family val="3"/>
            <charset val="134"/>
          </rPr>
          <t>【字段名】：
lv
【表头】：
c
【数据类型】：
字符
【为空是否导出】：
false</t>
        </r>
      </text>
    </comment>
  </commentList>
</comments>
</file>

<file path=xl/sharedStrings.xml><?xml version="1.0" encoding="utf-8"?>
<sst xmlns="http://schemas.openxmlformats.org/spreadsheetml/2006/main" count="101" uniqueCount="48">
  <si>
    <t>id</t>
    <phoneticPr fontId="1" type="noConversion"/>
  </si>
  <si>
    <t>名称</t>
    <phoneticPr fontId="1" type="noConversion"/>
  </si>
  <si>
    <t>背景图片</t>
    <phoneticPr fontId="1" type="noConversion"/>
  </si>
  <si>
    <t>挂机点列表</t>
    <phoneticPr fontId="1" type="noConversion"/>
  </si>
  <si>
    <t>后天</t>
  </si>
  <si>
    <t>先天</t>
  </si>
  <si>
    <t>修真</t>
  </si>
  <si>
    <t>修仙</t>
  </si>
  <si>
    <t>修神</t>
  </si>
  <si>
    <t>类型</t>
    <phoneticPr fontId="1" type="noConversion"/>
  </si>
  <si>
    <t>图片</t>
    <phoneticPr fontId="1" type="noConversion"/>
  </si>
  <si>
    <t>前置挂机点列表</t>
    <phoneticPr fontId="1" type="noConversion"/>
  </si>
  <si>
    <t>需求前置挂机点</t>
    <phoneticPr fontId="1" type="noConversion"/>
  </si>
  <si>
    <t>需求前置挂机点等级</t>
    <phoneticPr fontId="1" type="noConversion"/>
  </si>
  <si>
    <t>分组</t>
    <phoneticPr fontId="1" type="noConversion"/>
  </si>
  <si>
    <t>#</t>
    <phoneticPr fontId="1" type="noConversion"/>
  </si>
  <si>
    <t>索引</t>
    <phoneticPr fontId="1" type="noConversion"/>
  </si>
  <si>
    <t>#</t>
  </si>
  <si>
    <t>x</t>
    <phoneticPr fontId="1" type="noConversion"/>
  </si>
  <si>
    <t>y</t>
    <phoneticPr fontId="1" type="noConversion"/>
  </si>
  <si>
    <t>guai01</t>
    <phoneticPr fontId="1" type="noConversion"/>
  </si>
  <si>
    <t>guai02</t>
  </si>
  <si>
    <t>guai03</t>
  </si>
  <si>
    <t>guai04</t>
  </si>
  <si>
    <t>guai05</t>
  </si>
  <si>
    <t>guai06</t>
  </si>
  <si>
    <t>guai07</t>
  </si>
  <si>
    <t>guai08</t>
  </si>
  <si>
    <t>guai09</t>
  </si>
  <si>
    <t>guai10</t>
  </si>
  <si>
    <t>guai11</t>
  </si>
  <si>
    <t>bg</t>
    <phoneticPr fontId="1" type="noConversion"/>
  </si>
  <si>
    <t>后天</t>
    <phoneticPr fontId="1" type="noConversion"/>
  </si>
  <si>
    <t>品级</t>
    <phoneticPr fontId="1" type="noConversion"/>
  </si>
  <si>
    <t>分支</t>
    <phoneticPr fontId="1" type="noConversion"/>
  </si>
  <si>
    <t>后天2品分支1</t>
  </si>
  <si>
    <t>后天3品分支1</t>
  </si>
  <si>
    <t>后天4品分支1</t>
  </si>
  <si>
    <t>后天5品分支1</t>
  </si>
  <si>
    <t>后天6品分支1</t>
  </si>
  <si>
    <t>后天7品分支1</t>
  </si>
  <si>
    <t>后天8品分支1</t>
  </si>
  <si>
    <t>后天9品分支1</t>
  </si>
  <si>
    <t>后天10品分支1</t>
  </si>
  <si>
    <t>后天10品分支2</t>
  </si>
  <si>
    <t>后天1品分支1</t>
  </si>
  <si>
    <t>guai12</t>
    <phoneticPr fontId="1" type="noConversion"/>
  </si>
  <si>
    <t>后天11品分支1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</si>
</sst>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27"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E19C6-8F99-47B9-A18E-66BEAC16B0C5}" name="Cfg_Map" displayName="Cfg_Map" ref="A1:E7" totalsRowShown="0" headerRowDxfId="26" dataDxfId="25">
  <autoFilter ref="A1:E7" xr:uid="{8C2E19C6-8F99-47B9-A18E-66BEAC16B0C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9" xr3:uid="{E6B9AA54-B5B9-4C54-BED2-09D9E8A57723}" name="索引" dataDxfId="24"/>
    <tableColumn id="1" xr3:uid="{62A7661E-46D3-4FBD-A598-40D05FDEA174}" name="id" dataDxfId="23"/>
    <tableColumn id="2" xr3:uid="{8202C8E8-3ECF-44AC-906A-08BC887BC701}" name="名称" dataDxfId="22"/>
    <tableColumn id="3" xr3:uid="{AA7B6830-77D3-45E0-81B3-CDB5D3D75B6A}" name="背景图片" dataDxfId="21"/>
    <tableColumn id="7" xr3:uid="{493917F0-DAA9-436F-900A-1A87EE584419}" name="挂机点列表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7C1DAF-3509-4E30-9F7B-4CF9EF030CCD}" name="Cfg_MapPoint" displayName="Cfg_MapPoint" ref="A1:K14" totalsRowShown="0" headerRowDxfId="19" dataDxfId="18">
  <autoFilter ref="A1:K14" xr:uid="{707C1DAF-3509-4E30-9F7B-4CF9EF030C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2" xr3:uid="{5D994712-7AAB-4B73-A5A5-81E04ACECD89}" name="索引" dataDxfId="17"/>
    <tableColumn id="1" xr3:uid="{B083A4F3-A0E0-4C8A-A6EF-A01D39B712A0}" name="id" dataDxfId="16"/>
    <tableColumn id="9" xr3:uid="{6291F61B-4873-43E4-9162-99F6F2F333C6}" name="分组" dataDxfId="15"/>
    <tableColumn id="2" xr3:uid="{A52252C4-214F-4B89-B01D-E9432A19B6ED}" name="类型" dataDxfId="14"/>
    <tableColumn id="13" xr3:uid="{11F598B0-431B-49D9-9728-E1D34C844DF2}" name="x" dataDxfId="13"/>
    <tableColumn id="14" xr3:uid="{0656D849-7EB7-4D98-B821-FF0A36ADE155}" name="y" dataDxfId="12"/>
    <tableColumn id="4" xr3:uid="{29012926-80B9-4C71-B42D-9A8867306D85}" name="品级" dataDxfId="11"/>
    <tableColumn id="5" xr3:uid="{6D73A5D7-9881-489A-89C0-33C8A1699143}" name="分支" dataDxfId="10"/>
    <tableColumn id="3" xr3:uid="{A76C9986-5734-44AA-9D58-1C6786054F9C}" name="名称" dataDxfId="9"/>
    <tableColumn id="15" xr3:uid="{B3E4C7DF-4F0C-43DE-BC3F-24CEB2561749}" name="图片" dataDxfId="8"/>
    <tableColumn id="7" xr3:uid="{4CB91A3E-B473-4CBC-B361-0E5517581948}" name="前置挂机点列表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9E8C6B1-6B18-4BE4-B7F2-F992888CE27B}" name="Cfg_PointPrefix" displayName="Cfg_PointPrefix" ref="A1:E14" totalsRowShown="0" headerRowDxfId="6" dataDxfId="5">
  <autoFilter ref="A1:E14" xr:uid="{69E8C6B1-6B18-4BE4-B7F2-F992888CE27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9376D5A3-171C-4E34-AC59-47BB73DA3020}" name="索引" dataDxfId="4"/>
    <tableColumn id="1" xr3:uid="{59C4462A-CCBE-45F4-A86E-6A7726A0EF7E}" name="id" dataDxfId="3"/>
    <tableColumn id="6" xr3:uid="{F333ABDE-C56E-4401-B6D1-1F3616C8B8F6}" name="分组" dataDxfId="2"/>
    <tableColumn id="2" xr3:uid="{91C78C23-A14E-4AC7-A13C-66990EFA88A7}" name="需求前置挂机点" dataDxfId="1"/>
    <tableColumn id="3" xr3:uid="{000FDC8F-AEFC-4D7C-99BB-678D98C9A1A0}" name="需求前置挂机点等级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9014-9428-423D-90DA-50047899F324}">
  <dimension ref="A1:E7"/>
  <sheetViews>
    <sheetView workbookViewId="0">
      <selection activeCell="H12" sqref="H12"/>
    </sheetView>
  </sheetViews>
  <sheetFormatPr defaultColWidth="8.88671875" defaultRowHeight="13.2" x14ac:dyDescent="0.25"/>
  <cols>
    <col min="1" max="1" width="4.88671875" style="1" bestFit="1" customWidth="1"/>
    <col min="2" max="2" width="3.109375" style="1" bestFit="1" customWidth="1"/>
    <col min="3" max="3" width="4.88671875" style="1" bestFit="1" customWidth="1"/>
    <col min="4" max="4" width="8.21875" style="1" bestFit="1" customWidth="1"/>
    <col min="5" max="5" width="31" style="1" bestFit="1" customWidth="1"/>
    <col min="6" max="16384" width="8.88671875" style="1"/>
  </cols>
  <sheetData>
    <row r="1" spans="1:5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17</v>
      </c>
      <c r="B2" s="1" t="s">
        <v>15</v>
      </c>
      <c r="C2" s="1" t="s">
        <v>15</v>
      </c>
      <c r="D2" s="1" t="s">
        <v>15</v>
      </c>
      <c r="E2" s="1" t="s">
        <v>15</v>
      </c>
    </row>
    <row r="3" spans="1:5" x14ac:dyDescent="0.25">
      <c r="A3" s="1" t="s">
        <v>4</v>
      </c>
      <c r="B3" s="1">
        <v>1</v>
      </c>
      <c r="C3" s="1" t="s">
        <v>4</v>
      </c>
      <c r="D3" s="1" t="s">
        <v>31</v>
      </c>
      <c r="E3" s="1" t="str">
        <f>"MapPoint.行标签["&amp;Cfg_Map[[#This Row],[索引]]&amp;"].列ID[id]"</f>
        <v>MapPoint.行标签[后天].列ID[id]</v>
      </c>
    </row>
    <row r="4" spans="1:5" x14ac:dyDescent="0.25">
      <c r="A4" s="1" t="s">
        <v>5</v>
      </c>
      <c r="B4" s="1">
        <v>2</v>
      </c>
      <c r="C4" s="1" t="s">
        <v>5</v>
      </c>
      <c r="D4" s="1" t="s">
        <v>31</v>
      </c>
    </row>
    <row r="5" spans="1:5" x14ac:dyDescent="0.25">
      <c r="A5" s="1" t="s">
        <v>6</v>
      </c>
      <c r="B5" s="1">
        <v>3</v>
      </c>
      <c r="C5" s="1" t="s">
        <v>6</v>
      </c>
      <c r="D5" s="1" t="s">
        <v>31</v>
      </c>
    </row>
    <row r="6" spans="1:5" x14ac:dyDescent="0.25">
      <c r="A6" s="1" t="s">
        <v>7</v>
      </c>
      <c r="B6" s="1">
        <v>4</v>
      </c>
      <c r="C6" s="1" t="s">
        <v>7</v>
      </c>
      <c r="D6" s="1" t="s">
        <v>31</v>
      </c>
    </row>
    <row r="7" spans="1:5" x14ac:dyDescent="0.25">
      <c r="A7" s="1" t="s">
        <v>8</v>
      </c>
      <c r="B7" s="1">
        <v>5</v>
      </c>
      <c r="C7" s="1" t="s">
        <v>8</v>
      </c>
      <c r="D7" s="1" t="s">
        <v>31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08725-7EBA-4DAA-ABA3-0228D4508072}">
  <dimension ref="A1:K14"/>
  <sheetViews>
    <sheetView tabSelected="1" workbookViewId="0">
      <selection activeCell="E17" sqref="E17:E29"/>
    </sheetView>
  </sheetViews>
  <sheetFormatPr defaultColWidth="8.88671875" defaultRowHeight="13.2" x14ac:dyDescent="0.25"/>
  <cols>
    <col min="1" max="1" width="13.6640625" style="1" bestFit="1" customWidth="1"/>
    <col min="2" max="2" width="8.44140625" style="1" bestFit="1" customWidth="1"/>
    <col min="3" max="4" width="4.88671875" style="1" bestFit="1" customWidth="1"/>
    <col min="5" max="8" width="4.88671875" style="1" customWidth="1"/>
    <col min="9" max="9" width="13.6640625" style="1" bestFit="1" customWidth="1"/>
    <col min="10" max="10" width="13.6640625" style="1" customWidth="1"/>
    <col min="11" max="11" width="40.6640625" style="1" bestFit="1" customWidth="1"/>
    <col min="12" max="16384" width="8.88671875" style="1"/>
  </cols>
  <sheetData>
    <row r="1" spans="1:11" x14ac:dyDescent="0.25">
      <c r="A1" s="1" t="s">
        <v>16</v>
      </c>
      <c r="B1" s="1" t="s">
        <v>0</v>
      </c>
      <c r="C1" s="1" t="s">
        <v>14</v>
      </c>
      <c r="D1" s="1" t="s">
        <v>9</v>
      </c>
      <c r="E1" s="1" t="s">
        <v>18</v>
      </c>
      <c r="F1" s="1" t="s">
        <v>19</v>
      </c>
      <c r="G1" s="1" t="s">
        <v>33</v>
      </c>
      <c r="H1" s="1" t="s">
        <v>34</v>
      </c>
      <c r="I1" s="1" t="s">
        <v>1</v>
      </c>
      <c r="J1" s="1" t="s">
        <v>10</v>
      </c>
      <c r="K1" s="1" t="s">
        <v>11</v>
      </c>
    </row>
    <row r="2" spans="1:11" x14ac:dyDescent="0.25">
      <c r="A2" s="1" t="s">
        <v>17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</row>
    <row r="3" spans="1:11" x14ac:dyDescent="0.25">
      <c r="A3" s="1" t="str">
        <f>$C3&amp;$G3&amp;"品分支"&amp;$H3</f>
        <v>后天1品分支1</v>
      </c>
      <c r="B3" s="1">
        <f>VLOOKUP($C3,Cfg_Map[],MATCH('Cfg_Map'!$B$1,Cfg_Map[#Headers],0),FALSE)*1000000+$G3*1000+$H3</f>
        <v>1001001</v>
      </c>
      <c r="C3" s="1" t="s">
        <v>32</v>
      </c>
      <c r="D3" s="1">
        <v>1</v>
      </c>
      <c r="E3" s="1">
        <v>300</v>
      </c>
      <c r="F3" s="1">
        <f ca="1">RANDBETWEEN(-100,100)+500</f>
        <v>585</v>
      </c>
      <c r="G3" s="1">
        <v>1</v>
      </c>
      <c r="H3" s="1">
        <v>1</v>
      </c>
      <c r="I3" s="1" t="str">
        <f>Cfg_MapPoint[[#This Row],[索引]]</f>
        <v>后天1品分支1</v>
      </c>
      <c r="J3" s="1" t="s">
        <v>20</v>
      </c>
    </row>
    <row r="4" spans="1:11" x14ac:dyDescent="0.25">
      <c r="A4" s="1" t="str">
        <f t="shared" ref="A4:A14" si="0">$C4&amp;$G4&amp;"品分支"&amp;$H4</f>
        <v>后天2品分支1</v>
      </c>
      <c r="B4" s="1">
        <f>VLOOKUP($C4,Cfg_Map[],MATCH('Cfg_Map'!$B$1,Cfg_Map[#Headers],0),FALSE)*1000000+$G4*1000+$H4</f>
        <v>1002001</v>
      </c>
      <c r="C4" s="1" t="s">
        <v>32</v>
      </c>
      <c r="D4" s="1">
        <v>1</v>
      </c>
      <c r="E4" s="1">
        <v>600</v>
      </c>
      <c r="F4" s="1">
        <f t="shared" ref="F4:F11" ca="1" si="1">RANDBETWEEN(-100,100)+500</f>
        <v>520</v>
      </c>
      <c r="G4" s="1">
        <v>2</v>
      </c>
      <c r="H4" s="1">
        <v>1</v>
      </c>
      <c r="I4" s="1" t="str">
        <f>Cfg_MapPoint[[#This Row],[索引]]</f>
        <v>后天2品分支1</v>
      </c>
      <c r="J4" s="1" t="s">
        <v>21</v>
      </c>
      <c r="K4" s="1" t="str">
        <f>"PointPrefix.行标签["&amp;Cfg_MapPoint[[#This Row],[索引]]&amp;"].列ID[id]"</f>
        <v>PointPrefix.行标签[后天2品分支1].列ID[id]</v>
      </c>
    </row>
    <row r="5" spans="1:11" x14ac:dyDescent="0.25">
      <c r="A5" s="1" t="str">
        <f t="shared" si="0"/>
        <v>后天3品分支1</v>
      </c>
      <c r="B5" s="1">
        <f>VLOOKUP($C5,Cfg_Map[],MATCH('Cfg_Map'!$B$1,Cfg_Map[#Headers],0),FALSE)*1000000+$G5*1000+$H5</f>
        <v>1003001</v>
      </c>
      <c r="C5" s="1" t="s">
        <v>32</v>
      </c>
      <c r="D5" s="1">
        <v>1</v>
      </c>
      <c r="E5" s="1">
        <v>900</v>
      </c>
      <c r="F5" s="1">
        <f t="shared" ca="1" si="1"/>
        <v>592</v>
      </c>
      <c r="G5" s="1">
        <v>3</v>
      </c>
      <c r="H5" s="1">
        <v>1</v>
      </c>
      <c r="I5" s="1" t="str">
        <f>Cfg_MapPoint[[#This Row],[索引]]</f>
        <v>后天3品分支1</v>
      </c>
      <c r="J5" s="1" t="s">
        <v>22</v>
      </c>
      <c r="K5" s="1" t="str">
        <f>"PointPrefix.行标签["&amp;Cfg_MapPoint[[#This Row],[索引]]&amp;"].列ID[id]"</f>
        <v>PointPrefix.行标签[后天3品分支1].列ID[id]</v>
      </c>
    </row>
    <row r="6" spans="1:11" x14ac:dyDescent="0.25">
      <c r="A6" s="1" t="str">
        <f t="shared" si="0"/>
        <v>后天4品分支1</v>
      </c>
      <c r="B6" s="1">
        <f>VLOOKUP($C6,Cfg_Map[],MATCH('Cfg_Map'!$B$1,Cfg_Map[#Headers],0),FALSE)*1000000+$G6*1000+$H6</f>
        <v>1004001</v>
      </c>
      <c r="C6" s="1" t="s">
        <v>32</v>
      </c>
      <c r="D6" s="1">
        <v>1</v>
      </c>
      <c r="E6" s="1">
        <v>1200</v>
      </c>
      <c r="F6" s="1">
        <f t="shared" ca="1" si="1"/>
        <v>575</v>
      </c>
      <c r="G6" s="1">
        <v>4</v>
      </c>
      <c r="H6" s="1">
        <v>1</v>
      </c>
      <c r="I6" s="1" t="str">
        <f>Cfg_MapPoint[[#This Row],[索引]]</f>
        <v>后天4品分支1</v>
      </c>
      <c r="J6" s="1" t="s">
        <v>23</v>
      </c>
      <c r="K6" s="1" t="str">
        <f>"PointPrefix.行标签["&amp;Cfg_MapPoint[[#This Row],[索引]]&amp;"].列ID[id]"</f>
        <v>PointPrefix.行标签[后天4品分支1].列ID[id]</v>
      </c>
    </row>
    <row r="7" spans="1:11" x14ac:dyDescent="0.25">
      <c r="A7" s="1" t="str">
        <f t="shared" si="0"/>
        <v>后天5品分支1</v>
      </c>
      <c r="B7" s="1">
        <f>VLOOKUP($C7,Cfg_Map[],MATCH('Cfg_Map'!$B$1,Cfg_Map[#Headers],0),FALSE)*1000000+$G7*1000+$H7</f>
        <v>1005001</v>
      </c>
      <c r="C7" s="1" t="s">
        <v>32</v>
      </c>
      <c r="D7" s="1">
        <v>1</v>
      </c>
      <c r="E7" s="1">
        <v>1500</v>
      </c>
      <c r="F7" s="1">
        <f t="shared" ca="1" si="1"/>
        <v>589</v>
      </c>
      <c r="G7" s="1">
        <v>5</v>
      </c>
      <c r="H7" s="1">
        <v>1</v>
      </c>
      <c r="I7" s="1" t="str">
        <f>Cfg_MapPoint[[#This Row],[索引]]</f>
        <v>后天5品分支1</v>
      </c>
      <c r="J7" s="1" t="s">
        <v>24</v>
      </c>
      <c r="K7" s="1" t="str">
        <f>"PointPrefix.行标签["&amp;Cfg_MapPoint[[#This Row],[索引]]&amp;"].列ID[id]"</f>
        <v>PointPrefix.行标签[后天5品分支1].列ID[id]</v>
      </c>
    </row>
    <row r="8" spans="1:11" x14ac:dyDescent="0.25">
      <c r="A8" s="1" t="str">
        <f t="shared" si="0"/>
        <v>后天6品分支1</v>
      </c>
      <c r="B8" s="1">
        <f>VLOOKUP($C8,Cfg_Map[],MATCH('Cfg_Map'!$B$1,Cfg_Map[#Headers],0),FALSE)*1000000+$G8*1000+$H8</f>
        <v>1006001</v>
      </c>
      <c r="C8" s="1" t="s">
        <v>32</v>
      </c>
      <c r="D8" s="1">
        <v>1</v>
      </c>
      <c r="E8" s="1">
        <v>1800</v>
      </c>
      <c r="F8" s="1">
        <f t="shared" ca="1" si="1"/>
        <v>595</v>
      </c>
      <c r="G8" s="1">
        <v>6</v>
      </c>
      <c r="H8" s="1">
        <v>1</v>
      </c>
      <c r="I8" s="1" t="str">
        <f>Cfg_MapPoint[[#This Row],[索引]]</f>
        <v>后天6品分支1</v>
      </c>
      <c r="J8" s="1" t="s">
        <v>25</v>
      </c>
      <c r="K8" s="1" t="str">
        <f>"PointPrefix.行标签["&amp;Cfg_MapPoint[[#This Row],[索引]]&amp;"].列ID[id]"</f>
        <v>PointPrefix.行标签[后天6品分支1].列ID[id]</v>
      </c>
    </row>
    <row r="9" spans="1:11" x14ac:dyDescent="0.25">
      <c r="A9" s="1" t="str">
        <f t="shared" si="0"/>
        <v>后天7品分支1</v>
      </c>
      <c r="B9" s="1">
        <f>VLOOKUP($C9,Cfg_Map[],MATCH('Cfg_Map'!$B$1,Cfg_Map[#Headers],0),FALSE)*1000000+$G9*1000+$H9</f>
        <v>1007001</v>
      </c>
      <c r="C9" s="1" t="s">
        <v>32</v>
      </c>
      <c r="D9" s="1">
        <v>1</v>
      </c>
      <c r="E9" s="1">
        <v>2100</v>
      </c>
      <c r="F9" s="1">
        <f t="shared" ca="1" si="1"/>
        <v>461</v>
      </c>
      <c r="G9" s="1">
        <v>7</v>
      </c>
      <c r="H9" s="1">
        <v>1</v>
      </c>
      <c r="I9" s="1" t="str">
        <f>Cfg_MapPoint[[#This Row],[索引]]</f>
        <v>后天7品分支1</v>
      </c>
      <c r="J9" s="1" t="s">
        <v>26</v>
      </c>
      <c r="K9" s="1" t="str">
        <f>"PointPrefix.行标签["&amp;Cfg_MapPoint[[#This Row],[索引]]&amp;"].列ID[id]"</f>
        <v>PointPrefix.行标签[后天7品分支1].列ID[id]</v>
      </c>
    </row>
    <row r="10" spans="1:11" x14ac:dyDescent="0.25">
      <c r="A10" s="1" t="str">
        <f t="shared" si="0"/>
        <v>后天8品分支1</v>
      </c>
      <c r="B10" s="1">
        <f>VLOOKUP($C10,Cfg_Map[],MATCH('Cfg_Map'!$B$1,Cfg_Map[#Headers],0),FALSE)*1000000+$G10*1000+$H10</f>
        <v>1008001</v>
      </c>
      <c r="C10" s="1" t="s">
        <v>32</v>
      </c>
      <c r="D10" s="1">
        <v>1</v>
      </c>
      <c r="E10" s="1">
        <v>2400</v>
      </c>
      <c r="F10" s="1">
        <f t="shared" ca="1" si="1"/>
        <v>411</v>
      </c>
      <c r="G10" s="1">
        <v>8</v>
      </c>
      <c r="H10" s="1">
        <v>1</v>
      </c>
      <c r="I10" s="1" t="str">
        <f>Cfg_MapPoint[[#This Row],[索引]]</f>
        <v>后天8品分支1</v>
      </c>
      <c r="J10" s="1" t="s">
        <v>27</v>
      </c>
      <c r="K10" s="1" t="str">
        <f>"PointPrefix.行标签["&amp;Cfg_MapPoint[[#This Row],[索引]]&amp;"].列ID[id]"</f>
        <v>PointPrefix.行标签[后天8品分支1].列ID[id]</v>
      </c>
    </row>
    <row r="11" spans="1:11" x14ac:dyDescent="0.25">
      <c r="A11" s="1" t="str">
        <f t="shared" si="0"/>
        <v>后天9品分支1</v>
      </c>
      <c r="B11" s="1">
        <f>VLOOKUP($C11,Cfg_Map[],MATCH('Cfg_Map'!$B$1,Cfg_Map[#Headers],0),FALSE)*1000000+$G11*1000+$H11</f>
        <v>1009001</v>
      </c>
      <c r="C11" s="1" t="s">
        <v>32</v>
      </c>
      <c r="D11" s="1">
        <v>1</v>
      </c>
      <c r="E11" s="1">
        <v>2700</v>
      </c>
      <c r="F11" s="1">
        <f t="shared" ca="1" si="1"/>
        <v>425</v>
      </c>
      <c r="G11" s="1">
        <v>9</v>
      </c>
      <c r="H11" s="1">
        <v>1</v>
      </c>
      <c r="I11" s="1" t="str">
        <f>Cfg_MapPoint[[#This Row],[索引]]</f>
        <v>后天9品分支1</v>
      </c>
      <c r="J11" s="1" t="s">
        <v>28</v>
      </c>
      <c r="K11" s="1" t="str">
        <f>"PointPrefix.行标签["&amp;Cfg_MapPoint[[#This Row],[索引]]&amp;"].列ID[id]"</f>
        <v>PointPrefix.行标签[后天9品分支1].列ID[id]</v>
      </c>
    </row>
    <row r="12" spans="1:11" x14ac:dyDescent="0.25">
      <c r="A12" s="1" t="str">
        <f t="shared" si="0"/>
        <v>后天10品分支1</v>
      </c>
      <c r="B12" s="1">
        <f>VLOOKUP($C12,Cfg_Map[],MATCH('Cfg_Map'!$B$1,Cfg_Map[#Headers],0),FALSE)*1000000+$G12*1000+$H12</f>
        <v>1010001</v>
      </c>
      <c r="C12" s="1" t="s">
        <v>32</v>
      </c>
      <c r="D12" s="1">
        <v>1</v>
      </c>
      <c r="E12" s="1">
        <v>3000</v>
      </c>
      <c r="F12" s="1">
        <f ca="1">-300+RANDBETWEEN(-100,100)+500</f>
        <v>223</v>
      </c>
      <c r="G12" s="1">
        <v>10</v>
      </c>
      <c r="H12" s="1">
        <v>1</v>
      </c>
      <c r="I12" s="1" t="str">
        <f>Cfg_MapPoint[[#This Row],[索引]]</f>
        <v>后天10品分支1</v>
      </c>
      <c r="J12" s="1" t="s">
        <v>29</v>
      </c>
      <c r="K12" s="1" t="str">
        <f>"PointPrefix.行标签["&amp;Cfg_MapPoint[[#This Row],[索引]]&amp;"].列ID[id]"</f>
        <v>PointPrefix.行标签[后天10品分支1].列ID[id]</v>
      </c>
    </row>
    <row r="13" spans="1:11" x14ac:dyDescent="0.25">
      <c r="A13" s="1" t="str">
        <f t="shared" si="0"/>
        <v>后天10品分支2</v>
      </c>
      <c r="B13" s="1">
        <f>VLOOKUP($C13,Cfg_Map[],MATCH('Cfg_Map'!$B$1,Cfg_Map[#Headers],0),FALSE)*1000000+$G13*1000+$H13</f>
        <v>1010002</v>
      </c>
      <c r="C13" s="1" t="s">
        <v>32</v>
      </c>
      <c r="D13" s="1">
        <v>1</v>
      </c>
      <c r="E13" s="1">
        <v>3000</v>
      </c>
      <c r="F13" s="1">
        <f ca="1">300+RANDBETWEEN(-100,100)+500</f>
        <v>769</v>
      </c>
      <c r="G13" s="1">
        <v>10</v>
      </c>
      <c r="H13" s="1">
        <v>2</v>
      </c>
      <c r="I13" s="1" t="str">
        <f>Cfg_MapPoint[[#This Row],[索引]]</f>
        <v>后天10品分支2</v>
      </c>
      <c r="J13" s="1" t="s">
        <v>30</v>
      </c>
      <c r="K13" s="1" t="str">
        <f>"PointPrefix.行标签["&amp;Cfg_MapPoint[[#This Row],[索引]]&amp;"].列ID[id]"</f>
        <v>PointPrefix.行标签[后天10品分支2].列ID[id]</v>
      </c>
    </row>
    <row r="14" spans="1:11" x14ac:dyDescent="0.25">
      <c r="A14" s="1" t="str">
        <f t="shared" si="0"/>
        <v>后天11品分支1</v>
      </c>
      <c r="B14" s="1">
        <f>VLOOKUP($C14,Cfg_Map[],MATCH('Cfg_Map'!$B$1,Cfg_Map[#Headers],0),FALSE)*1000000+$G14*1000+$H14</f>
        <v>1011001</v>
      </c>
      <c r="C14" s="1" t="s">
        <v>32</v>
      </c>
      <c r="D14" s="1">
        <v>1</v>
      </c>
      <c r="E14" s="1">
        <v>3300</v>
      </c>
      <c r="F14" s="1">
        <f t="shared" ref="F14" ca="1" si="2">RANDBETWEEN(-100,100)+500</f>
        <v>596</v>
      </c>
      <c r="G14" s="1">
        <v>11</v>
      </c>
      <c r="H14" s="1">
        <v>1</v>
      </c>
      <c r="I14" s="1" t="str">
        <f>Cfg_MapPoint[[#This Row],[索引]]</f>
        <v>后天11品分支1</v>
      </c>
      <c r="J14" s="1" t="s">
        <v>46</v>
      </c>
      <c r="K14" s="1" t="str">
        <f>"PointPrefix.行标签["&amp;Cfg_MapPoint[[#This Row],[索引]]&amp;"].列ID[id]"</f>
        <v>PointPrefix.行标签[后天11品分支1].列ID[id]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87D6-83F9-4B96-8294-2BF3520DB78C}">
  <dimension ref="A1:E14"/>
  <sheetViews>
    <sheetView workbookViewId="0">
      <selection activeCell="G13" sqref="G13"/>
    </sheetView>
  </sheetViews>
  <sheetFormatPr defaultColWidth="8.88671875" defaultRowHeight="13.2" x14ac:dyDescent="0.25"/>
  <cols>
    <col min="1" max="1" width="23.77734375" style="1" bestFit="1" customWidth="1"/>
    <col min="2" max="2" width="26.44140625" style="1" bestFit="1" customWidth="1"/>
    <col min="3" max="3" width="13.6640625" style="1" bestFit="1" customWidth="1"/>
    <col min="4" max="5" width="17.21875" style="1" bestFit="1" customWidth="1"/>
    <col min="6" max="16384" width="8.88671875" style="1"/>
  </cols>
  <sheetData>
    <row r="1" spans="1:5" x14ac:dyDescent="0.25">
      <c r="A1" s="1" t="s">
        <v>16</v>
      </c>
      <c r="B1" s="1" t="s">
        <v>0</v>
      </c>
      <c r="C1" s="1" t="s">
        <v>14</v>
      </c>
      <c r="D1" s="1" t="s">
        <v>12</v>
      </c>
      <c r="E1" s="1" t="s">
        <v>13</v>
      </c>
    </row>
    <row r="2" spans="1:5" x14ac:dyDescent="0.25">
      <c r="A2" s="1" t="s">
        <v>17</v>
      </c>
    </row>
    <row r="3" spans="1:5" x14ac:dyDescent="0.25">
      <c r="A3" s="1" t="str">
        <f>Cfg_PointPrefix[[#This Row],[分组]]&amp;"to"&amp;Cfg_PointPrefix[[#This Row],[需求前置挂机点]]</f>
        <v>后天2品分支1to后天1品分支1</v>
      </c>
      <c r="B3" s="1">
        <v>1</v>
      </c>
      <c r="C3" s="1" t="s">
        <v>35</v>
      </c>
      <c r="D3" s="1" t="s">
        <v>45</v>
      </c>
      <c r="E3" s="1">
        <v>10</v>
      </c>
    </row>
    <row r="4" spans="1:5" x14ac:dyDescent="0.25">
      <c r="A4" s="1" t="str">
        <f>Cfg_PointPrefix[[#This Row],[分组]]&amp;"to"&amp;Cfg_PointPrefix[[#This Row],[需求前置挂机点]]</f>
        <v>后天3品分支1to后天2品分支1</v>
      </c>
      <c r="B4" s="1">
        <v>2</v>
      </c>
      <c r="C4" s="1" t="s">
        <v>36</v>
      </c>
      <c r="D4" s="1" t="s">
        <v>35</v>
      </c>
      <c r="E4" s="1">
        <v>10</v>
      </c>
    </row>
    <row r="5" spans="1:5" x14ac:dyDescent="0.25">
      <c r="A5" s="1" t="str">
        <f>Cfg_PointPrefix[[#This Row],[分组]]&amp;"to"&amp;Cfg_PointPrefix[[#This Row],[需求前置挂机点]]</f>
        <v>后天4品分支1to后天3品分支1</v>
      </c>
      <c r="B5" s="1">
        <v>3</v>
      </c>
      <c r="C5" s="1" t="s">
        <v>37</v>
      </c>
      <c r="D5" s="1" t="s">
        <v>36</v>
      </c>
      <c r="E5" s="1">
        <v>10</v>
      </c>
    </row>
    <row r="6" spans="1:5" x14ac:dyDescent="0.25">
      <c r="A6" s="1" t="str">
        <f>Cfg_PointPrefix[[#This Row],[分组]]&amp;"to"&amp;Cfg_PointPrefix[[#This Row],[需求前置挂机点]]</f>
        <v>后天5品分支1to后天4品分支1</v>
      </c>
      <c r="B6" s="1">
        <v>4</v>
      </c>
      <c r="C6" s="1" t="s">
        <v>38</v>
      </c>
      <c r="D6" s="1" t="s">
        <v>37</v>
      </c>
      <c r="E6" s="1">
        <v>10</v>
      </c>
    </row>
    <row r="7" spans="1:5" x14ac:dyDescent="0.25">
      <c r="A7" s="1" t="str">
        <f>Cfg_PointPrefix[[#This Row],[分组]]&amp;"to"&amp;Cfg_PointPrefix[[#This Row],[需求前置挂机点]]</f>
        <v>后天6品分支1to后天5品分支1</v>
      </c>
      <c r="B7" s="1">
        <v>5</v>
      </c>
      <c r="C7" s="1" t="s">
        <v>39</v>
      </c>
      <c r="D7" s="1" t="s">
        <v>38</v>
      </c>
      <c r="E7" s="1">
        <v>10</v>
      </c>
    </row>
    <row r="8" spans="1:5" x14ac:dyDescent="0.25">
      <c r="A8" s="1" t="str">
        <f>Cfg_PointPrefix[[#This Row],[分组]]&amp;"to"&amp;Cfg_PointPrefix[[#This Row],[需求前置挂机点]]</f>
        <v>后天7品分支1to后天6品分支1</v>
      </c>
      <c r="B8" s="1">
        <v>6</v>
      </c>
      <c r="C8" s="1" t="s">
        <v>40</v>
      </c>
      <c r="D8" s="1" t="s">
        <v>39</v>
      </c>
      <c r="E8" s="1">
        <v>10</v>
      </c>
    </row>
    <row r="9" spans="1:5" x14ac:dyDescent="0.25">
      <c r="A9" s="1" t="str">
        <f>Cfg_PointPrefix[[#This Row],[分组]]&amp;"to"&amp;Cfg_PointPrefix[[#This Row],[需求前置挂机点]]</f>
        <v>后天8品分支1to后天7品分支1</v>
      </c>
      <c r="B9" s="1">
        <v>7</v>
      </c>
      <c r="C9" s="1" t="s">
        <v>41</v>
      </c>
      <c r="D9" s="1" t="s">
        <v>40</v>
      </c>
      <c r="E9" s="1">
        <v>10</v>
      </c>
    </row>
    <row r="10" spans="1:5" x14ac:dyDescent="0.25">
      <c r="A10" s="1" t="str">
        <f>Cfg_PointPrefix[[#This Row],[分组]]&amp;"to"&amp;Cfg_PointPrefix[[#This Row],[需求前置挂机点]]</f>
        <v>后天9品分支1to后天8品分支1</v>
      </c>
      <c r="B10" s="1">
        <v>8</v>
      </c>
      <c r="C10" s="1" t="s">
        <v>42</v>
      </c>
      <c r="D10" s="1" t="s">
        <v>41</v>
      </c>
      <c r="E10" s="1">
        <v>10</v>
      </c>
    </row>
    <row r="11" spans="1:5" x14ac:dyDescent="0.25">
      <c r="A11" s="1" t="str">
        <f>Cfg_PointPrefix[[#This Row],[分组]]&amp;"to"&amp;Cfg_PointPrefix[[#This Row],[需求前置挂机点]]</f>
        <v>后天10品分支1to后天9品分支1</v>
      </c>
      <c r="B11" s="1">
        <v>9</v>
      </c>
      <c r="C11" s="1" t="s">
        <v>43</v>
      </c>
      <c r="D11" s="1" t="s">
        <v>42</v>
      </c>
      <c r="E11" s="1">
        <v>10</v>
      </c>
    </row>
    <row r="12" spans="1:5" x14ac:dyDescent="0.25">
      <c r="A12" s="1" t="str">
        <f>Cfg_PointPrefix[[#This Row],[分组]]&amp;"to"&amp;Cfg_PointPrefix[[#This Row],[需求前置挂机点]]</f>
        <v>后天10品分支2to后天9品分支1</v>
      </c>
      <c r="B12" s="1">
        <v>10</v>
      </c>
      <c r="C12" s="1" t="s">
        <v>44</v>
      </c>
      <c r="D12" s="1" t="s">
        <v>42</v>
      </c>
      <c r="E12" s="1">
        <v>10</v>
      </c>
    </row>
    <row r="13" spans="1:5" x14ac:dyDescent="0.25">
      <c r="A13" s="1" t="str">
        <f>Cfg_PointPrefix[[#This Row],[分组]]&amp;"to"&amp;Cfg_PointPrefix[[#This Row],[需求前置挂机点]]</f>
        <v>后天11品分支1to后天10品分支1</v>
      </c>
      <c r="B13" s="1">
        <v>11</v>
      </c>
      <c r="C13" s="1" t="s">
        <v>47</v>
      </c>
      <c r="D13" s="1" t="s">
        <v>43</v>
      </c>
      <c r="E13" s="1">
        <v>10</v>
      </c>
    </row>
    <row r="14" spans="1:5" x14ac:dyDescent="0.25">
      <c r="A14" s="1" t="str">
        <f>Cfg_PointPrefix[[#This Row],[分组]]&amp;"to"&amp;Cfg_PointPrefix[[#This Row],[需求前置挂机点]]</f>
        <v>后天11品分支1to后天10品分支2</v>
      </c>
      <c r="B14" s="1">
        <v>12</v>
      </c>
      <c r="C14" s="1" t="s">
        <v>47</v>
      </c>
      <c r="D14" s="1" t="s">
        <v>44</v>
      </c>
      <c r="E14" s="1">
        <v>10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Cfg_Map</vt:lpstr>
      <vt:lpstr>Cfg_MapPoint</vt:lpstr>
      <vt:lpstr>Cfg_PointPrefix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俭铭 毛</dc:creator>
  <cp:lastModifiedBy>俭铭 毛</cp:lastModifiedBy>
  <dcterms:created xsi:type="dcterms:W3CDTF">2025-02-14T07:31:57Z</dcterms:created>
  <dcterms:modified xsi:type="dcterms:W3CDTF">2025-06-05T08:15:06Z</dcterms:modified>
</cp:coreProperties>
</file>